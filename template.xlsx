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baidenko\Downloads\JSQ-Laboratory\JSQ_Viewer\"/>
    </mc:Choice>
  </mc:AlternateContent>
  <xr:revisionPtr revIDLastSave="0" documentId="13_ncr:1_{52FF3F08-22B5-4423-8C88-37D5CC9EB6CB}" xr6:coauthVersionLast="47" xr6:coauthVersionMax="47" xr10:uidLastSave="{00000000-0000-0000-0000-000000000000}"/>
  <bookViews>
    <workbookView xWindow="-120" yWindow="-120" windowWidth="29040" windowHeight="15720" xr2:uid="{567E23D1-9027-490D-A6E6-D7650005BE01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1" l="1"/>
  <c r="V4" i="1"/>
  <c r="Y4" i="1"/>
  <c r="X4" i="1"/>
  <c r="W4" i="1"/>
</calcChain>
</file>

<file path=xl/sharedStrings.xml><?xml version="1.0" encoding="utf-8"?>
<sst xmlns="http://schemas.openxmlformats.org/spreadsheetml/2006/main" count="55" uniqueCount="30">
  <si>
    <t>Время испытания, мин</t>
  </si>
  <si>
    <t>Текущее время, Мин</t>
  </si>
  <si>
    <t>Рc, Давление нагнетания</t>
  </si>
  <si>
    <t>Ре,  Давление всасывания</t>
  </si>
  <si>
    <t>Температура в камере</t>
  </si>
  <si>
    <t>Влажность в камере</t>
  </si>
  <si>
    <t>Тс Трубка нагнетания</t>
  </si>
  <si>
    <t>Те Трубка всасывания (10-15 см от  компрессора)</t>
  </si>
  <si>
    <t>Т1 Датчик термостата</t>
  </si>
  <si>
    <t>Т2 Корпус компрессора</t>
  </si>
  <si>
    <t>T3 Фильтр-осушитель</t>
  </si>
  <si>
    <t>Т4 Вход воздуха в испаритель</t>
  </si>
  <si>
    <t>Т5 Виход воздуха из испарителя</t>
  </si>
  <si>
    <t>Т6 Вход воздуха в конденсатор</t>
  </si>
  <si>
    <t>Т7 Виход выоздуха из конденсатора</t>
  </si>
  <si>
    <t>I, А</t>
  </si>
  <si>
    <t xml:space="preserve">F, Hz </t>
  </si>
  <si>
    <t>U, B</t>
  </si>
  <si>
    <t xml:space="preserve">W, Вт </t>
  </si>
  <si>
    <t>Tcd температура конденсації</t>
  </si>
  <si>
    <t>Tevap температура кипіння</t>
  </si>
  <si>
    <t>Минимальная температура в объеме</t>
  </si>
  <si>
    <t>Максимальная температура в объеме</t>
  </si>
  <si>
    <t>Средняя температура в объеме</t>
  </si>
  <si>
    <t>ЛП</t>
  </si>
  <si>
    <t>ЛЗ</t>
  </si>
  <si>
    <t>Ц</t>
  </si>
  <si>
    <t>ПЗ</t>
  </si>
  <si>
    <t>ПП</t>
  </si>
  <si>
    <t>R290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</si>
</sst>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h]:mm:ss;@"/>
  </numFmts>
  <fonts count="10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1"/>
      <color rgb="FFFF0000"/>
      <name val="Calibri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2" borderId="1" xfId="1" applyFont="1" applyFill="1" applyBorder="1" applyAlignment="1">
      <alignment horizontal="center" vertical="center" textRotation="90" wrapText="1"/>
    </xf>
    <xf numFmtId="0" fontId="3" fillId="2" borderId="1" xfId="1" applyFont="1" applyFill="1" applyBorder="1" applyAlignment="1">
      <alignment horizontal="center" vertical="center" textRotation="90" wrapText="1" shrinkToFit="1"/>
    </xf>
    <xf numFmtId="0" fontId="3" fillId="3" borderId="1" xfId="1" applyFont="1" applyFill="1" applyBorder="1" applyAlignment="1">
      <alignment horizontal="center" vertical="center" textRotation="90" wrapText="1"/>
    </xf>
    <xf numFmtId="164" fontId="3" fillId="4" borderId="1" xfId="1" applyNumberFormat="1" applyFont="1" applyFill="1" applyBorder="1" applyAlignment="1">
      <alignment horizontal="center" vertical="center" textRotation="90" wrapText="1"/>
    </xf>
    <xf numFmtId="0" fontId="3" fillId="5" borderId="1" xfId="1" applyFont="1" applyFill="1" applyBorder="1" applyAlignment="1">
      <alignment horizontal="center" vertical="center" textRotation="90" wrapText="1"/>
    </xf>
    <xf numFmtId="164" fontId="3" fillId="0" borderId="1" xfId="1" applyNumberFormat="1" applyFont="1" applyBorder="1" applyAlignment="1">
      <alignment horizontal="center" vertical="center" textRotation="90" wrapText="1" shrinkToFit="1"/>
    </xf>
    <xf numFmtId="0" fontId="3" fillId="0" borderId="1" xfId="1" applyFont="1" applyBorder="1" applyAlignment="1">
      <alignment horizontal="center" vertical="center" textRotation="90" wrapText="1" shrinkToFit="1"/>
    </xf>
    <xf numFmtId="0" fontId="3" fillId="0" borderId="1" xfId="0" applyFont="1" applyBorder="1" applyAlignment="1">
      <alignment horizontal="center" vertical="center" textRotation="90" wrapText="1" shrinkToFit="1"/>
    </xf>
    <xf numFmtId="0" fontId="3" fillId="6" borderId="1" xfId="0" applyFont="1" applyFill="1" applyBorder="1" applyAlignment="1">
      <alignment horizontal="center" vertical="center" textRotation="90" wrapText="1" shrinkToFit="1"/>
    </xf>
    <xf numFmtId="0" fontId="3" fillId="7" borderId="1" xfId="0" applyFont="1" applyFill="1" applyBorder="1" applyAlignment="1">
      <alignment horizontal="center" vertical="center" textRotation="90" wrapText="1" shrinkToFit="1"/>
    </xf>
    <xf numFmtId="0" fontId="5" fillId="3" borderId="1" xfId="0" applyFont="1" applyFill="1" applyBorder="1" applyAlignment="1">
      <alignment horizontal="center" vertical="center" textRotation="90" wrapText="1"/>
    </xf>
    <xf numFmtId="0" fontId="5" fillId="4" borderId="1" xfId="0" applyFont="1" applyFill="1" applyBorder="1" applyAlignment="1">
      <alignment horizontal="center" vertical="center" textRotation="90" wrapText="1"/>
    </xf>
    <xf numFmtId="0" fontId="4" fillId="8" borderId="2" xfId="0" applyFont="1" applyFill="1" applyBorder="1" applyAlignment="1">
      <alignment horizontal="center" vertical="center" textRotation="90" wrapText="1"/>
    </xf>
    <xf numFmtId="0" fontId="4" fillId="9" borderId="2" xfId="0" applyFont="1" applyFill="1" applyBorder="1" applyAlignment="1">
      <alignment horizontal="center" vertical="center" textRotation="90" wrapText="1"/>
    </xf>
    <xf numFmtId="0" fontId="4" fillId="10" borderId="1" xfId="0" applyFont="1" applyFill="1" applyBorder="1" applyAlignment="1">
      <alignment horizontal="center" vertical="center" textRotation="90" wrapText="1"/>
    </xf>
    <xf numFmtId="0" fontId="6" fillId="8" borderId="4" xfId="0" applyFont="1" applyFill="1" applyBorder="1" applyAlignment="1">
      <alignment horizontal="center" vertical="center" textRotation="90"/>
    </xf>
    <xf numFmtId="0" fontId="6" fillId="11" borderId="4" xfId="0" applyFont="1" applyFill="1" applyBorder="1" applyAlignment="1">
      <alignment horizontal="center" vertical="center" textRotation="90"/>
    </xf>
    <xf numFmtId="0" fontId="6" fillId="12" borderId="4" xfId="0" applyFont="1" applyFill="1" applyBorder="1" applyAlignment="1">
      <alignment horizontal="center" vertical="center" textRotation="90"/>
    </xf>
    <xf numFmtId="0" fontId="6" fillId="13" borderId="4" xfId="0" applyFont="1" applyFill="1" applyBorder="1" applyAlignment="1">
      <alignment horizontal="center" vertical="center" textRotation="90"/>
    </xf>
    <xf numFmtId="0" fontId="6" fillId="14" borderId="4" xfId="0" applyFont="1" applyFill="1" applyBorder="1" applyAlignment="1">
      <alignment horizontal="center" vertical="center" textRotation="90"/>
    </xf>
    <xf numFmtId="0" fontId="6" fillId="5" borderId="4" xfId="0" applyFont="1" applyFill="1" applyBorder="1" applyAlignment="1">
      <alignment horizontal="center" vertical="center" textRotation="90"/>
    </xf>
    <xf numFmtId="0" fontId="3" fillId="15" borderId="5" xfId="1" applyFont="1" applyFill="1" applyBorder="1" applyAlignment="1">
      <alignment horizontal="center" vertical="center" textRotation="90" wrapText="1"/>
    </xf>
    <xf numFmtId="165" fontId="7" fillId="2" borderId="6" xfId="0" applyNumberFormat="1" applyFont="1" applyFill="1" applyBorder="1" applyAlignment="1">
      <alignment horizontal="center" vertical="center"/>
    </xf>
    <xf numFmtId="21" fontId="8" fillId="0" borderId="7" xfId="0" applyNumberFormat="1" applyFont="1" applyBorder="1" applyAlignment="1">
      <alignment horizontal="center" vertical="center"/>
    </xf>
    <xf numFmtId="164" fontId="8" fillId="3" borderId="6" xfId="1" applyNumberFormat="1" applyFont="1" applyFill="1" applyBorder="1" applyAlignment="1">
      <alignment horizontal="center" vertical="center"/>
    </xf>
    <xf numFmtId="164" fontId="8" fillId="4" borderId="8" xfId="1" applyNumberFormat="1" applyFont="1" applyFill="1" applyBorder="1" applyAlignment="1">
      <alignment horizontal="center" vertical="center"/>
    </xf>
    <xf numFmtId="164" fontId="8" fillId="5" borderId="9" xfId="1" applyNumberFormat="1" applyFont="1" applyFill="1" applyBorder="1" applyAlignment="1">
      <alignment horizontal="center" vertical="center"/>
    </xf>
    <xf numFmtId="164" fontId="8" fillId="5" borderId="7" xfId="1" applyNumberFormat="1" applyFont="1" applyFill="1" applyBorder="1" applyAlignment="1">
      <alignment horizontal="center" vertical="center"/>
    </xf>
    <xf numFmtId="164" fontId="8" fillId="0" borderId="6" xfId="1" applyNumberFormat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164" fontId="8" fillId="0" borderId="8" xfId="1" applyNumberFormat="1" applyFont="1" applyBorder="1" applyAlignment="1">
      <alignment horizontal="center" vertical="center"/>
    </xf>
    <xf numFmtId="164" fontId="8" fillId="16" borderId="6" xfId="1" applyNumberFormat="1" applyFont="1" applyFill="1" applyBorder="1" applyAlignment="1">
      <alignment horizontal="center" vertical="center"/>
    </xf>
    <xf numFmtId="164" fontId="8" fillId="0" borderId="11" xfId="1" applyNumberFormat="1" applyFont="1" applyBorder="1" applyAlignment="1">
      <alignment horizontal="center" vertical="center"/>
    </xf>
    <xf numFmtId="164" fontId="9" fillId="3" borderId="6" xfId="0" applyNumberFormat="1" applyFont="1" applyFill="1" applyBorder="1" applyAlignment="1">
      <alignment horizontal="center"/>
    </xf>
    <xf numFmtId="164" fontId="8" fillId="8" borderId="6" xfId="1" applyNumberFormat="1" applyFont="1" applyFill="1" applyBorder="1" applyAlignment="1">
      <alignment horizontal="center" vertical="center"/>
    </xf>
    <xf numFmtId="164" fontId="8" fillId="9" borderId="10" xfId="1" applyNumberFormat="1" applyFont="1" applyFill="1" applyBorder="1" applyAlignment="1">
      <alignment horizontal="center" vertical="center"/>
    </xf>
    <xf numFmtId="164" fontId="8" fillId="10" borderId="8" xfId="1" applyNumberFormat="1" applyFont="1" applyFill="1" applyBorder="1" applyAlignment="1">
      <alignment horizontal="center" vertical="center"/>
    </xf>
    <xf numFmtId="164" fontId="8" fillId="8" borderId="10" xfId="0" applyNumberFormat="1" applyFont="1" applyFill="1" applyBorder="1" applyAlignment="1">
      <alignment horizontal="center" vertical="center"/>
    </xf>
    <xf numFmtId="164" fontId="8" fillId="11" borderId="10" xfId="0" applyNumberFormat="1" applyFont="1" applyFill="1" applyBorder="1" applyAlignment="1">
      <alignment horizontal="center" vertical="center"/>
    </xf>
    <xf numFmtId="164" fontId="8" fillId="12" borderId="10" xfId="0" applyNumberFormat="1" applyFont="1" applyFill="1" applyBorder="1" applyAlignment="1">
      <alignment horizontal="center" vertical="center"/>
    </xf>
    <xf numFmtId="164" fontId="8" fillId="13" borderId="10" xfId="0" applyNumberFormat="1" applyFont="1" applyFill="1" applyBorder="1" applyAlignment="1">
      <alignment horizontal="center" vertical="center"/>
    </xf>
    <xf numFmtId="164" fontId="8" fillId="14" borderId="10" xfId="0" applyNumberFormat="1" applyFont="1" applyFill="1" applyBorder="1" applyAlignment="1">
      <alignment horizontal="center" vertical="center"/>
    </xf>
    <xf numFmtId="164" fontId="8" fillId="5" borderId="10" xfId="0" applyNumberFormat="1" applyFont="1" applyFill="1" applyBorder="1" applyAlignment="1">
      <alignment horizontal="center" vertical="center"/>
    </xf>
    <xf numFmtId="0" fontId="4" fillId="17" borderId="2" xfId="1" applyFont="1" applyFill="1" applyBorder="1" applyAlignment="1">
      <alignment horizontal="center" vertical="center" wrapText="1"/>
    </xf>
    <xf numFmtId="0" fontId="4" fillId="17" borderId="1" xfId="1" applyFont="1" applyFill="1" applyBorder="1" applyAlignment="1">
      <alignment horizontal="center" vertical="center" wrapText="1"/>
    </xf>
    <xf numFmtId="0" fontId="4" fillId="17" borderId="3" xfId="1" applyFont="1" applyFill="1" applyBorder="1" applyAlignment="1">
      <alignment horizontal="center" vertical="center" wrapText="1"/>
    </xf>
    <xf numFmtId="164" fontId="8" fillId="17" borderId="6" xfId="1" applyNumberFormat="1" applyFont="1" applyFill="1" applyBorder="1" applyAlignment="1">
      <alignment horizontal="center" vertical="center"/>
    </xf>
    <xf numFmtId="164" fontId="8" fillId="17" borderId="10" xfId="1" applyNumberFormat="1" applyFont="1" applyFill="1" applyBorder="1" applyAlignment="1">
      <alignment horizontal="center" vertical="center"/>
    </xf>
    <xf numFmtId="164" fontId="8" fillId="17" borderId="8" xfId="1" applyNumberFormat="1" applyFont="1" applyFill="1" applyBorder="1" applyAlignment="1">
      <alignment horizontal="center" vertical="center"/>
    </xf>
    <xf numFmtId="164" fontId="9" fillId="4" borderId="6" xfId="0" applyNumberFormat="1" applyFont="1" applyFill="1" applyBorder="1" applyAlignment="1">
      <alignment horizontal="center"/>
    </xf>
  </cellXfs>
  <cellStyles count="2">
    <cellStyle name="Обычный" xfId="0" builtinId="0"/>
    <cellStyle name="Обычный 3" xfId="1" xr:uid="{05123555-CD57-4F25-9A88-9E258880E6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09BD-FED4-4D51-A483-7877CC7B405E}">
  <dimension ref="B1:BC4"/>
  <sheetViews>
    <sheetView tabSelected="1" workbookViewId="0">
      <selection activeCell="R16" sqref="R16"/>
    </sheetView>
  </sheetViews>
  <sheetFormatPr defaultRowHeight="15" x14ac:dyDescent="0.25"/>
  <sheetData>
    <row r="1" spans="2:55" ht="15.75" thickBot="1" x14ac:dyDescent="0.3">
      <c r="B1" t="s">
        <v>29</v>
      </c>
    </row>
    <row r="2" spans="2:55" ht="148.5" thickBot="1" x14ac:dyDescent="0.3">
      <c r="B2" s="1" t="s">
        <v>0</v>
      </c>
      <c r="C2" s="2" t="s">
        <v>1</v>
      </c>
      <c r="D2" s="3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7" t="s">
        <v>7</v>
      </c>
      <c r="J2" s="8" t="s">
        <v>8</v>
      </c>
      <c r="K2" s="8" t="s">
        <v>9</v>
      </c>
      <c r="L2" s="9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44" t="s">
        <v>15</v>
      </c>
      <c r="R2" s="45" t="s">
        <v>16</v>
      </c>
      <c r="S2" s="46" t="s">
        <v>17</v>
      </c>
      <c r="T2" s="46" t="s">
        <v>18</v>
      </c>
      <c r="U2" s="11" t="s">
        <v>19</v>
      </c>
      <c r="V2" s="12" t="s">
        <v>20</v>
      </c>
      <c r="W2" s="13" t="s">
        <v>21</v>
      </c>
      <c r="X2" s="14" t="s">
        <v>22</v>
      </c>
      <c r="Y2" s="15" t="s">
        <v>23</v>
      </c>
      <c r="Z2" s="16" t="s">
        <v>24</v>
      </c>
      <c r="AA2" s="16" t="s">
        <v>25</v>
      </c>
      <c r="AB2" s="16" t="s">
        <v>26</v>
      </c>
      <c r="AC2" s="16" t="s">
        <v>27</v>
      </c>
      <c r="AD2" s="16" t="s">
        <v>28</v>
      </c>
      <c r="AE2" s="17" t="s">
        <v>24</v>
      </c>
      <c r="AF2" s="17" t="s">
        <v>25</v>
      </c>
      <c r="AG2" s="17" t="s">
        <v>26</v>
      </c>
      <c r="AH2" s="17" t="s">
        <v>27</v>
      </c>
      <c r="AI2" s="17" t="s">
        <v>28</v>
      </c>
      <c r="AJ2" s="18" t="s">
        <v>24</v>
      </c>
      <c r="AK2" s="18" t="s">
        <v>25</v>
      </c>
      <c r="AL2" s="18" t="s">
        <v>26</v>
      </c>
      <c r="AM2" s="18" t="s">
        <v>27</v>
      </c>
      <c r="AN2" s="18" t="s">
        <v>28</v>
      </c>
      <c r="AO2" s="19" t="s">
        <v>24</v>
      </c>
      <c r="AP2" s="19" t="s">
        <v>25</v>
      </c>
      <c r="AQ2" s="19" t="s">
        <v>26</v>
      </c>
      <c r="AR2" s="19" t="s">
        <v>27</v>
      </c>
      <c r="AS2" s="19" t="s">
        <v>28</v>
      </c>
      <c r="AT2" s="20" t="s">
        <v>24</v>
      </c>
      <c r="AU2" s="20" t="s">
        <v>25</v>
      </c>
      <c r="AV2" s="20" t="s">
        <v>26</v>
      </c>
      <c r="AW2" s="20" t="s">
        <v>27</v>
      </c>
      <c r="AX2" s="20" t="s">
        <v>28</v>
      </c>
      <c r="AY2" s="21" t="s">
        <v>24</v>
      </c>
      <c r="AZ2" s="21" t="s">
        <v>25</v>
      </c>
      <c r="BA2" s="21" t="s">
        <v>26</v>
      </c>
      <c r="BB2" s="21" t="s">
        <v>27</v>
      </c>
      <c r="BC2" s="21" t="s">
        <v>28</v>
      </c>
    </row>
    <row r="3" spans="2:55" ht="15.75" thickBot="1" x14ac:dyDescent="0.3">
      <c r="B3" s="22">
        <v>1</v>
      </c>
      <c r="C3" s="22">
        <v>1</v>
      </c>
      <c r="D3" s="22">
        <v>1</v>
      </c>
      <c r="E3" s="22">
        <v>1</v>
      </c>
      <c r="F3" s="22">
        <v>1</v>
      </c>
      <c r="G3" s="22">
        <v>1</v>
      </c>
      <c r="H3" s="22">
        <v>1</v>
      </c>
      <c r="I3" s="22">
        <v>1</v>
      </c>
      <c r="J3" s="22">
        <v>1</v>
      </c>
      <c r="K3" s="22">
        <v>1</v>
      </c>
      <c r="L3" s="22">
        <v>1</v>
      </c>
      <c r="M3" s="22">
        <v>1</v>
      </c>
      <c r="N3" s="22">
        <v>1</v>
      </c>
      <c r="O3" s="22">
        <v>1</v>
      </c>
      <c r="P3" s="22">
        <v>1</v>
      </c>
      <c r="Q3" s="22">
        <v>1</v>
      </c>
      <c r="R3" s="22">
        <v>1</v>
      </c>
      <c r="S3" s="22">
        <v>1</v>
      </c>
      <c r="T3" s="22">
        <v>1</v>
      </c>
      <c r="U3" s="22">
        <v>1</v>
      </c>
      <c r="V3" s="22">
        <v>1</v>
      </c>
      <c r="W3" s="22">
        <v>1</v>
      </c>
      <c r="X3" s="22">
        <v>1</v>
      </c>
      <c r="Y3" s="22">
        <v>1</v>
      </c>
      <c r="Z3" s="22">
        <v>1</v>
      </c>
      <c r="AA3" s="22">
        <v>1</v>
      </c>
      <c r="AB3" s="22">
        <v>1</v>
      </c>
      <c r="AC3" s="22">
        <v>1</v>
      </c>
      <c r="AD3" s="22">
        <v>1</v>
      </c>
      <c r="AE3" s="22">
        <v>1</v>
      </c>
      <c r="AF3" s="22">
        <v>1</v>
      </c>
      <c r="AG3" s="22">
        <v>1</v>
      </c>
      <c r="AH3" s="22">
        <v>1</v>
      </c>
      <c r="AI3" s="22">
        <v>1</v>
      </c>
      <c r="AJ3" s="22">
        <v>1</v>
      </c>
      <c r="AK3" s="22">
        <v>1</v>
      </c>
      <c r="AL3" s="22">
        <v>1</v>
      </c>
      <c r="AM3" s="22">
        <v>1</v>
      </c>
      <c r="AN3" s="22">
        <v>1</v>
      </c>
      <c r="AO3" s="22">
        <v>1</v>
      </c>
      <c r="AP3" s="22">
        <v>1</v>
      </c>
      <c r="AQ3" s="22">
        <v>1</v>
      </c>
      <c r="AR3" s="22">
        <v>1</v>
      </c>
      <c r="AS3" s="22">
        <v>1</v>
      </c>
      <c r="AT3" s="22">
        <v>1</v>
      </c>
      <c r="AU3" s="22">
        <v>1</v>
      </c>
      <c r="AV3" s="22">
        <v>1</v>
      </c>
      <c r="AW3" s="22">
        <v>1</v>
      </c>
      <c r="AX3" s="22">
        <v>1</v>
      </c>
      <c r="AY3" s="22">
        <v>1</v>
      </c>
      <c r="AZ3" s="22">
        <v>1</v>
      </c>
      <c r="BA3" s="22">
        <v>1</v>
      </c>
      <c r="BB3" s="22">
        <v>1</v>
      </c>
      <c r="BC3" s="22">
        <v>1</v>
      </c>
    </row>
    <row r="4" spans="2:55" x14ac:dyDescent="0.25">
      <c r="B4" s="23"/>
      <c r="C4" s="24"/>
      <c r="D4" s="25"/>
      <c r="E4" s="26"/>
      <c r="F4" s="27"/>
      <c r="G4" s="28"/>
      <c r="H4" s="29"/>
      <c r="I4" s="30"/>
      <c r="J4" s="31"/>
      <c r="K4" s="31"/>
      <c r="L4" s="32"/>
      <c r="M4" s="33"/>
      <c r="N4" s="30"/>
      <c r="O4" s="30"/>
      <c r="P4" s="30"/>
      <c r="Q4" s="47"/>
      <c r="R4" s="48"/>
      <c r="S4" s="49"/>
      <c r="T4" s="49"/>
      <c r="U4" s="34">
        <f>IF($B$1="R290",
IF(OR(D4&lt;-0.48,D4&gt;41.359),"ВНЕ ДИАПАЗОНА",0.01973273385328*LN(D4+1)^4+0.2987622586022*LN(D4+1)^3+2.452863797722*LN(D4+1)^2+22.63007347287*LN(D4+1)-42.19015299063),
IF($B$1="R600a",
IF(OR(D4&lt;-0.79,D4&gt;32.143),"ВНЕ ДИАПАЗОНА",0.043751593072*LN(D4+1)^4+0.261943878832*LN(D4+1)^3+2.781284406656*LN(D4+1)^2+25.461831417726*LN(D4+1)-12.189730454141),
0))</f>
        <v>-42.190152990629997</v>
      </c>
      <c r="V4" s="50">
        <f>IF($B$1="R290",
IF(OR(E4&lt;-0.48,E4&gt;41.359),"ВНЕ ДИАПАЗОНА",0.01973273385328*LN(E4+1)^4+0.2987622586022*LN(E4+1)^3+2.452863797722*LN(E4+1)^2+22.63007347287*LN(E4+1)-42.19015299063),
IF($B$1="R600a",
IF(OR(E4&lt;-0.79,E4&gt;32.143),"ВНЕ ДИАПАЗОНА",0.043751593072*LN(E4+1)^4+0.261943878832*LN(E4+1)^3+2.781284406656*LN(E4+1)^2+25.461831417726*LN(E4+1)-12.189730454141),
0))</f>
        <v>-42.190152990629997</v>
      </c>
      <c r="W4" s="35">
        <f t="shared" ref="W4" si="0">MIN(Z4:BM4)</f>
        <v>0</v>
      </c>
      <c r="X4" s="36">
        <f t="shared" ref="X4" si="1">MAX(Z4:BM4)</f>
        <v>0</v>
      </c>
      <c r="Y4" s="37" t="e">
        <f>AVERAGE(Z4:BE4)</f>
        <v>#DIV/0!</v>
      </c>
      <c r="Z4" s="38"/>
      <c r="AA4" s="38"/>
      <c r="AB4" s="38"/>
      <c r="AC4" s="38"/>
      <c r="AD4" s="38"/>
      <c r="AE4" s="39"/>
      <c r="AF4" s="39"/>
      <c r="AG4" s="39"/>
      <c r="AH4" s="39"/>
      <c r="AI4" s="39"/>
      <c r="AJ4" s="40"/>
      <c r="AK4" s="40"/>
      <c r="AL4" s="40"/>
      <c r="AM4" s="40"/>
      <c r="AN4" s="40"/>
      <c r="AO4" s="41"/>
      <c r="AP4" s="41"/>
      <c r="AQ4" s="41"/>
      <c r="AR4" s="41"/>
      <c r="AS4" s="41"/>
      <c r="AT4" s="42"/>
      <c r="AU4" s="42"/>
      <c r="AV4" s="42"/>
      <c r="AW4" s="42"/>
      <c r="AX4" s="42"/>
      <c r="AY4" s="43"/>
      <c r="AZ4" s="43"/>
      <c r="BA4" s="43"/>
      <c r="BB4" s="43"/>
      <c r="BC4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Baidenko</dc:creator>
  <cp:lastModifiedBy>Andrey Baidenko</cp:lastModifiedBy>
  <dcterms:created xsi:type="dcterms:W3CDTF">2026-01-16T06:37:12Z</dcterms:created>
  <dcterms:modified xsi:type="dcterms:W3CDTF">2026-04-28T10:05:42Z</dcterms:modified>
</cp:coreProperties>
</file>