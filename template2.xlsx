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.baidenko\Downloads\JSQ-Laboratory\JSQ_Viewer\"/>
    </mc:Choice>
  </mc:AlternateContent>
  <xr:revisionPtr revIDLastSave="0" documentId="13_ncr:1_{4EC63243-03A3-4E9A-84D3-0B2E8F7DB328}" xr6:coauthVersionLast="47" xr6:coauthVersionMax="47" xr10:uidLastSave="{00000000-0000-0000-0000-000000000000}"/>
  <bookViews>
    <workbookView xWindow="1665" yWindow="3120" windowWidth="27135" windowHeight="11295" xr2:uid="{AB56934D-C826-4F38-A205-E0052D29224A}"/>
  </bookViews>
  <sheets>
    <sheet name="Лист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" i="1" l="1"/>
  <c r="X4" i="1"/>
  <c r="W4" i="1"/>
  <c r="V4" i="1"/>
  <c r="U4" i="1"/>
</calcChain>
</file>

<file path=xl/sharedStrings.xml><?xml version="1.0" encoding="utf-8"?>
<sst xmlns="http://schemas.openxmlformats.org/spreadsheetml/2006/main" count="90" uniqueCount="64">
  <si>
    <t>R290</t>
  </si>
  <si>
    <t>D:/recordings/Post С/2026/Март/16.03.26 ACTIVE LARGE  KA14 130G FULL 2560</t>
  </si>
  <si>
    <t>Время испытания, мин</t>
  </si>
  <si>
    <t>Текущее время, Мин</t>
  </si>
  <si>
    <t>Рc, Давление нагнетания</t>
  </si>
  <si>
    <t>Ре,  Давление всасывания</t>
  </si>
  <si>
    <t>Температура в камере</t>
  </si>
  <si>
    <t>Влажность в камере</t>
  </si>
  <si>
    <t>Тс Трубка нагнетания</t>
  </si>
  <si>
    <t>Те Трубка всасывания (10-15 см от  компрессора)</t>
  </si>
  <si>
    <t>Т1 Датчик термостата</t>
  </si>
  <si>
    <t>Т2 Корпус компрессора</t>
  </si>
  <si>
    <t>T3 Фильтр-осушитель</t>
  </si>
  <si>
    <t>Т4 Вход воздуха в испаритель</t>
  </si>
  <si>
    <t>Т5 Виход воздуха из испарителя</t>
  </si>
  <si>
    <t>Т6 Вход воздуха в конденсатор</t>
  </si>
  <si>
    <t>Т7 Виход выоздуха из конденсатора</t>
  </si>
  <si>
    <t>I, А</t>
  </si>
  <si>
    <t xml:space="preserve">F, Hz </t>
  </si>
  <si>
    <t>U, B</t>
  </si>
  <si>
    <t xml:space="preserve">W, Вт </t>
  </si>
  <si>
    <t>Tcd температура конденсації</t>
  </si>
  <si>
    <t>Tevap температура кипіння</t>
  </si>
  <si>
    <t>Минимальная температура в объеме</t>
  </si>
  <si>
    <t>Максимальная температура в объеме</t>
  </si>
  <si>
    <t>Средняя температура в объеме</t>
  </si>
  <si>
    <t>ЛП</t>
  </si>
  <si>
    <t>ЛЗ</t>
  </si>
  <si>
    <t>СЗ</t>
  </si>
  <si>
    <t>ПЗ</t>
  </si>
  <si>
    <t>ПП</t>
  </si>
  <si>
    <t>СП</t>
  </si>
  <si>
    <t>ЛЦ</t>
  </si>
  <si>
    <t>ПЦ</t>
  </si>
  <si>
    <t>unit B - Tc 11 [°C]</t>
  </si>
  <si>
    <t>unit B - Tc 12 [°C]</t>
  </si>
  <si>
    <t>unit B - Tc 13 [°C]</t>
  </si>
  <si>
    <t>unit B - Tc 14 [°C]</t>
  </si>
  <si>
    <t>unit B - Tc 15 [°C]</t>
  </si>
  <si>
    <t>unit B - Tc 16 [°C]</t>
  </si>
  <si>
    <t>unit B - Tc 17 [°C]</t>
  </si>
  <si>
    <t>unit B - Tc 18 [°C]</t>
  </si>
  <si>
    <t>unit B - Tc 19 [°C]</t>
  </si>
  <si>
    <t>unit B - Tc 20 [°C]</t>
  </si>
  <si>
    <t>unit B - Tc 21 [°C]</t>
  </si>
  <si>
    <t>unit C - Tc 8 [°C]</t>
  </si>
  <si>
    <t>unit C - Tc 9 [°C]</t>
  </si>
  <si>
    <t>unit C - Tc 10 [°C]</t>
  </si>
  <si>
    <t>unit C - Tc 11 [°C]</t>
  </si>
  <si>
    <t>unit C - Tc 12 [°C]</t>
  </si>
  <si>
    <t>unit C - Tc 13 [°C]</t>
  </si>
  <si>
    <t>unit C - Tc 14 [°C]</t>
  </si>
  <si>
    <t>unit C - Tc 15 [°C]</t>
  </si>
  <si>
    <t>unit C - Tc 16 [°C]</t>
  </si>
  <si>
    <t>unit C - Tc 17 [°C]</t>
  </si>
  <si>
    <t>unit C - Tc 18 [°C]</t>
  </si>
  <si>
    <t>unit C - Tc 19 [°C]</t>
  </si>
  <si>
    <t>unit C - Tc 20 [°C]</t>
  </si>
  <si>
    <t>unit C - Tc 21 [°C]</t>
  </si>
  <si>
    <t>unit C - Tc 22 [°C]</t>
  </si>
  <si>
    <t>unit C - Tc 23 [°C]</t>
  </si>
  <si>
    <t>unit C - Tc 24 [°C]</t>
  </si>
  <si>
    <t>unit C - Tc 25 [°C]</t>
  </si>
  <si>
    <t>unit C - Tc 26 [°C]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</si>
</sst>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h]:mm:ss;@"/>
  </numFmts>
  <fonts count="12" x14ac:knownFonts="1"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6"/>
      <color rgb="FFFF0000"/>
      <name val="Calibri"/>
      <family val="2"/>
      <charset val="204"/>
      <scheme val="minor"/>
    </font>
    <font>
      <sz val="8"/>
      <name val="Arial"/>
      <family val="2"/>
    </font>
    <font>
      <b/>
      <sz val="12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1"/>
      <color theme="1"/>
      <name val="Arial"/>
      <family val="2"/>
      <charset val="204"/>
    </font>
    <font>
      <b/>
      <sz val="14"/>
      <color theme="1"/>
      <name val="Times New Roman"/>
      <family val="1"/>
      <charset val="204"/>
    </font>
    <font>
      <sz val="11"/>
      <color rgb="FFFF0000"/>
      <name val="Calibri"/>
      <family val="2"/>
      <charset val="204"/>
    </font>
    <font>
      <sz val="8"/>
      <color theme="1"/>
      <name val="Arial"/>
      <family val="2"/>
      <charset val="204"/>
    </font>
    <font>
      <sz val="8"/>
      <name val="Arial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1" xfId="1" applyFont="1" applyFill="1" applyBorder="1" applyAlignment="1">
      <alignment horizontal="center" vertical="center" textRotation="90" wrapText="1"/>
    </xf>
    <xf numFmtId="0" fontId="5" fillId="2" borderId="1" xfId="1" applyFont="1" applyFill="1" applyBorder="1" applyAlignment="1">
      <alignment horizontal="center" vertical="center" textRotation="90" wrapText="1" shrinkToFit="1"/>
    </xf>
    <xf numFmtId="0" fontId="5" fillId="3" borderId="1" xfId="1" applyFont="1" applyFill="1" applyBorder="1" applyAlignment="1">
      <alignment horizontal="center" vertical="center" textRotation="90" wrapText="1"/>
    </xf>
    <xf numFmtId="164" fontId="5" fillId="4" borderId="1" xfId="1" applyNumberFormat="1" applyFont="1" applyFill="1" applyBorder="1" applyAlignment="1">
      <alignment horizontal="center" vertical="center" textRotation="90" wrapText="1"/>
    </xf>
    <xf numFmtId="0" fontId="5" fillId="5" borderId="1" xfId="1" applyFont="1" applyFill="1" applyBorder="1" applyAlignment="1">
      <alignment horizontal="center" vertical="center" textRotation="90" wrapText="1"/>
    </xf>
    <xf numFmtId="164" fontId="5" fillId="0" borderId="1" xfId="1" applyNumberFormat="1" applyFont="1" applyBorder="1" applyAlignment="1">
      <alignment horizontal="center" vertical="center" textRotation="90" wrapText="1" shrinkToFit="1"/>
    </xf>
    <xf numFmtId="0" fontId="5" fillId="0" borderId="1" xfId="1" applyFont="1" applyBorder="1" applyAlignment="1">
      <alignment horizontal="center" vertical="center" textRotation="90" wrapText="1" shrinkToFit="1"/>
    </xf>
    <xf numFmtId="0" fontId="5" fillId="0" borderId="1" xfId="0" applyFont="1" applyBorder="1" applyAlignment="1">
      <alignment horizontal="center" vertical="center" textRotation="90" wrapText="1" shrinkToFit="1"/>
    </xf>
    <xf numFmtId="0" fontId="5" fillId="6" borderId="1" xfId="0" applyFont="1" applyFill="1" applyBorder="1" applyAlignment="1">
      <alignment horizontal="center" vertical="center" textRotation="90" wrapText="1" shrinkToFit="1"/>
    </xf>
    <xf numFmtId="0" fontId="5" fillId="7" borderId="1" xfId="0" applyFont="1" applyFill="1" applyBorder="1" applyAlignment="1">
      <alignment horizontal="center" vertical="center" textRotation="90" wrapText="1" shrinkToFit="1"/>
    </xf>
    <xf numFmtId="0" fontId="6" fillId="8" borderId="2" xfId="1" applyFont="1" applyFill="1" applyBorder="1" applyAlignment="1">
      <alignment horizontal="center" vertical="center" wrapText="1"/>
    </xf>
    <xf numFmtId="0" fontId="6" fillId="8" borderId="1" xfId="1" applyFont="1" applyFill="1" applyBorder="1" applyAlignment="1">
      <alignment horizontal="center" vertical="center" wrapText="1"/>
    </xf>
    <xf numFmtId="0" fontId="6" fillId="8" borderId="3" xfId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textRotation="90" wrapText="1"/>
    </xf>
    <xf numFmtId="0" fontId="7" fillId="4" borderId="1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10" borderId="2" xfId="0" applyFont="1" applyFill="1" applyBorder="1" applyAlignment="1">
      <alignment horizontal="center" vertical="center" textRotation="90" wrapText="1"/>
    </xf>
    <xf numFmtId="0" fontId="6" fillId="11" borderId="1" xfId="0" applyFont="1" applyFill="1" applyBorder="1" applyAlignment="1">
      <alignment horizontal="center" vertical="center" textRotation="90" wrapText="1"/>
    </xf>
    <xf numFmtId="0" fontId="8" fillId="12" borderId="4" xfId="0" applyFont="1" applyFill="1" applyBorder="1" applyAlignment="1">
      <alignment horizontal="center" vertical="center" textRotation="90"/>
    </xf>
    <xf numFmtId="0" fontId="8" fillId="10" borderId="4" xfId="0" applyFont="1" applyFill="1" applyBorder="1" applyAlignment="1">
      <alignment horizontal="center" vertical="center" textRotation="90"/>
    </xf>
    <xf numFmtId="0" fontId="5" fillId="13" borderId="5" xfId="1" applyFont="1" applyFill="1" applyBorder="1" applyAlignment="1">
      <alignment horizontal="center" vertical="center" textRotation="90" wrapText="1"/>
    </xf>
    <xf numFmtId="164" fontId="8" fillId="9" borderId="6" xfId="0" applyNumberFormat="1" applyFont="1" applyFill="1" applyBorder="1" applyAlignment="1">
      <alignment horizontal="center" vertical="center" textRotation="90"/>
    </xf>
    <xf numFmtId="164" fontId="8" fillId="14" borderId="6" xfId="0" applyNumberFormat="1" applyFont="1" applyFill="1" applyBorder="1" applyAlignment="1">
      <alignment horizontal="center" vertical="center" textRotation="90"/>
    </xf>
    <xf numFmtId="165" fontId="9" fillId="2" borderId="7" xfId="0" applyNumberFormat="1" applyFont="1" applyFill="1" applyBorder="1" applyAlignment="1">
      <alignment horizontal="center" vertical="center"/>
    </xf>
    <xf numFmtId="21" fontId="10" fillId="0" borderId="8" xfId="0" applyNumberFormat="1" applyFont="1" applyBorder="1" applyAlignment="1">
      <alignment horizontal="center" vertical="center"/>
    </xf>
    <xf numFmtId="164" fontId="10" fillId="3" borderId="7" xfId="1" applyNumberFormat="1" applyFont="1" applyFill="1" applyBorder="1" applyAlignment="1">
      <alignment horizontal="center" vertical="center"/>
    </xf>
    <xf numFmtId="164" fontId="10" fillId="4" borderId="9" xfId="1" applyNumberFormat="1" applyFont="1" applyFill="1" applyBorder="1" applyAlignment="1">
      <alignment horizontal="center" vertical="center"/>
    </xf>
    <xf numFmtId="164" fontId="10" fillId="5" borderId="10" xfId="1" applyNumberFormat="1" applyFont="1" applyFill="1" applyBorder="1" applyAlignment="1">
      <alignment horizontal="center" vertical="center"/>
    </xf>
    <xf numFmtId="164" fontId="10" fillId="5" borderId="8" xfId="1" applyNumberFormat="1" applyFont="1" applyFill="1" applyBorder="1" applyAlignment="1">
      <alignment horizontal="center" vertical="center"/>
    </xf>
    <xf numFmtId="164" fontId="10" fillId="0" borderId="7" xfId="1" applyNumberFormat="1" applyFont="1" applyBorder="1" applyAlignment="1">
      <alignment horizontal="center" vertical="center"/>
    </xf>
    <xf numFmtId="164" fontId="10" fillId="0" borderId="6" xfId="1" applyNumberFormat="1" applyFont="1" applyBorder="1" applyAlignment="1">
      <alignment horizontal="center" vertical="center"/>
    </xf>
    <xf numFmtId="164" fontId="10" fillId="0" borderId="9" xfId="1" applyNumberFormat="1" applyFont="1" applyBorder="1" applyAlignment="1">
      <alignment horizontal="center" vertical="center"/>
    </xf>
    <xf numFmtId="164" fontId="10" fillId="15" borderId="7" xfId="1" applyNumberFormat="1" applyFont="1" applyFill="1" applyBorder="1" applyAlignment="1">
      <alignment horizontal="center" vertical="center"/>
    </xf>
    <xf numFmtId="164" fontId="10" fillId="0" borderId="11" xfId="1" applyNumberFormat="1" applyFont="1" applyBorder="1" applyAlignment="1">
      <alignment horizontal="center" vertical="center"/>
    </xf>
    <xf numFmtId="164" fontId="10" fillId="8" borderId="7" xfId="1" applyNumberFormat="1" applyFont="1" applyFill="1" applyBorder="1" applyAlignment="1">
      <alignment horizontal="center" vertical="center"/>
    </xf>
    <xf numFmtId="164" fontId="10" fillId="8" borderId="6" xfId="1" applyNumberFormat="1" applyFont="1" applyFill="1" applyBorder="1" applyAlignment="1">
      <alignment horizontal="center" vertical="center"/>
    </xf>
    <xf numFmtId="164" fontId="10" fillId="8" borderId="9" xfId="1" applyNumberFormat="1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/>
    </xf>
    <xf numFmtId="164" fontId="11" fillId="4" borderId="7" xfId="0" applyNumberFormat="1" applyFont="1" applyFill="1" applyBorder="1" applyAlignment="1">
      <alignment horizontal="center"/>
    </xf>
    <xf numFmtId="164" fontId="10" fillId="9" borderId="7" xfId="1" applyNumberFormat="1" applyFont="1" applyFill="1" applyBorder="1" applyAlignment="1">
      <alignment horizontal="center" vertical="center"/>
    </xf>
    <xf numFmtId="164" fontId="10" fillId="10" borderId="6" xfId="1" applyNumberFormat="1" applyFont="1" applyFill="1" applyBorder="1" applyAlignment="1">
      <alignment horizontal="center" vertical="center"/>
    </xf>
    <xf numFmtId="164" fontId="10" fillId="11" borderId="9" xfId="1" applyNumberFormat="1" applyFont="1" applyFill="1" applyBorder="1" applyAlignment="1">
      <alignment horizontal="center" vertical="center"/>
    </xf>
  </cellXfs>
  <cellStyles count="2">
    <cellStyle name="Обычный" xfId="0" builtinId="0"/>
    <cellStyle name="Обычный 3" xfId="1" xr:uid="{71E0C2B1-7285-444E-B59C-6A849F74F9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58C0-68CC-40E6-9B72-7F94AE2F3B72}">
  <dimension ref="B1:BE12"/>
  <sheetViews>
    <sheetView tabSelected="1" topLeftCell="M1" workbookViewId="0">
      <selection activeCell="W12" sqref="W12"/>
    </sheetView>
  </sheetViews>
  <sheetFormatPr defaultRowHeight="15" x14ac:dyDescent="0.25"/>
  <sheetData>
    <row r="1" spans="2:57" ht="21.75" thickBot="1" x14ac:dyDescent="0.4">
      <c r="B1" s="1" t="s">
        <v>0</v>
      </c>
      <c r="C1" s="2"/>
      <c r="D1" t="s">
        <v>1</v>
      </c>
    </row>
    <row r="2" spans="2:57" ht="148.5" thickBot="1" x14ac:dyDescent="0.3">
      <c r="B2" s="3" t="s">
        <v>2</v>
      </c>
      <c r="C2" s="4" t="s">
        <v>3</v>
      </c>
      <c r="D2" s="5" t="s">
        <v>4</v>
      </c>
      <c r="E2" s="6" t="s">
        <v>5</v>
      </c>
      <c r="F2" s="7" t="s">
        <v>6</v>
      </c>
      <c r="G2" s="7" t="s">
        <v>7</v>
      </c>
      <c r="H2" s="8" t="s">
        <v>8</v>
      </c>
      <c r="I2" s="9" t="s">
        <v>9</v>
      </c>
      <c r="J2" s="10" t="s">
        <v>10</v>
      </c>
      <c r="K2" s="10" t="s">
        <v>11</v>
      </c>
      <c r="L2" s="11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3" t="s">
        <v>17</v>
      </c>
      <c r="R2" s="14" t="s">
        <v>18</v>
      </c>
      <c r="S2" s="15" t="s">
        <v>19</v>
      </c>
      <c r="T2" s="15" t="s">
        <v>20</v>
      </c>
      <c r="U2" s="16" t="s">
        <v>21</v>
      </c>
      <c r="V2" s="17" t="s">
        <v>22</v>
      </c>
      <c r="W2" s="18" t="s">
        <v>23</v>
      </c>
      <c r="X2" s="19" t="s">
        <v>24</v>
      </c>
      <c r="Y2" s="20" t="s">
        <v>25</v>
      </c>
      <c r="Z2" s="24" t="s">
        <v>26</v>
      </c>
      <c r="AA2" s="24" t="s">
        <v>27</v>
      </c>
      <c r="AB2" s="24" t="s">
        <v>32</v>
      </c>
      <c r="AC2" s="24" t="s">
        <v>28</v>
      </c>
      <c r="AD2" s="24" t="s">
        <v>31</v>
      </c>
      <c r="AE2" s="24" t="s">
        <v>33</v>
      </c>
      <c r="AF2" s="24" t="s">
        <v>29</v>
      </c>
      <c r="AG2" s="24" t="s">
        <v>30</v>
      </c>
      <c r="AH2" s="21" t="s">
        <v>26</v>
      </c>
      <c r="AI2" s="21" t="s">
        <v>27</v>
      </c>
      <c r="AJ2" s="21" t="s">
        <v>32</v>
      </c>
      <c r="AK2" s="21" t="s">
        <v>28</v>
      </c>
      <c r="AL2" s="21" t="s">
        <v>31</v>
      </c>
      <c r="AM2" s="21" t="s">
        <v>33</v>
      </c>
      <c r="AN2" s="21" t="s">
        <v>29</v>
      </c>
      <c r="AO2" s="21" t="s">
        <v>30</v>
      </c>
      <c r="AP2" s="22" t="s">
        <v>26</v>
      </c>
      <c r="AQ2" s="22" t="s">
        <v>27</v>
      </c>
      <c r="AR2" s="22" t="s">
        <v>32</v>
      </c>
      <c r="AS2" s="22" t="s">
        <v>28</v>
      </c>
      <c r="AT2" s="22" t="s">
        <v>31</v>
      </c>
      <c r="AU2" s="22" t="s">
        <v>33</v>
      </c>
      <c r="AV2" s="22" t="s">
        <v>29</v>
      </c>
      <c r="AW2" s="22" t="s">
        <v>30</v>
      </c>
      <c r="AX2" s="25" t="s">
        <v>26</v>
      </c>
      <c r="AY2" s="25" t="s">
        <v>27</v>
      </c>
      <c r="AZ2" s="25" t="s">
        <v>32</v>
      </c>
      <c r="BA2" s="25" t="s">
        <v>28</v>
      </c>
      <c r="BB2" s="25" t="s">
        <v>31</v>
      </c>
      <c r="BC2" s="25" t="s">
        <v>33</v>
      </c>
      <c r="BD2" s="25" t="s">
        <v>29</v>
      </c>
      <c r="BE2" s="25" t="s">
        <v>30</v>
      </c>
    </row>
    <row r="3" spans="2:57" ht="15" customHeight="1" thickBot="1" x14ac:dyDescent="0.3">
      <c r="B3" s="23">
        <v>1</v>
      </c>
      <c r="C3" s="23">
        <v>1</v>
      </c>
      <c r="D3" s="23">
        <v>1</v>
      </c>
      <c r="E3" s="23">
        <v>1</v>
      </c>
      <c r="F3" s="23">
        <v>1</v>
      </c>
      <c r="G3" s="23">
        <v>1</v>
      </c>
      <c r="H3" s="23">
        <v>1</v>
      </c>
      <c r="I3" s="23">
        <v>1</v>
      </c>
      <c r="J3" s="23">
        <v>1</v>
      </c>
      <c r="K3" s="23">
        <v>1</v>
      </c>
      <c r="L3" s="23">
        <v>1</v>
      </c>
      <c r="M3" s="23">
        <v>1</v>
      </c>
      <c r="N3" s="23">
        <v>1</v>
      </c>
      <c r="O3" s="23">
        <v>1</v>
      </c>
      <c r="P3" s="23">
        <v>1</v>
      </c>
      <c r="Q3" s="23">
        <v>1</v>
      </c>
      <c r="R3" s="23">
        <v>1</v>
      </c>
      <c r="S3" s="23">
        <v>1</v>
      </c>
      <c r="T3" s="23">
        <v>1</v>
      </c>
      <c r="U3" s="23">
        <v>1</v>
      </c>
      <c r="V3" s="23">
        <v>1</v>
      </c>
      <c r="W3" s="23">
        <v>1</v>
      </c>
      <c r="X3" s="23">
        <v>1</v>
      </c>
      <c r="Y3" s="23">
        <v>1</v>
      </c>
      <c r="Z3" s="23" t="s">
        <v>34</v>
      </c>
      <c r="AA3" s="23" t="s">
        <v>35</v>
      </c>
      <c r="AB3" s="23" t="s">
        <v>36</v>
      </c>
      <c r="AC3" s="23" t="s">
        <v>37</v>
      </c>
      <c r="AD3" s="23" t="s">
        <v>38</v>
      </c>
      <c r="AE3" s="23" t="s">
        <v>39</v>
      </c>
      <c r="AF3" s="23" t="s">
        <v>40</v>
      </c>
      <c r="AG3" s="23" t="s">
        <v>41</v>
      </c>
      <c r="AH3" s="23" t="s">
        <v>42</v>
      </c>
      <c r="AI3" s="23" t="s">
        <v>43</v>
      </c>
      <c r="AJ3" s="23" t="s">
        <v>44</v>
      </c>
      <c r="AK3" s="23" t="s">
        <v>45</v>
      </c>
      <c r="AL3" s="23" t="s">
        <v>46</v>
      </c>
      <c r="AM3" s="23" t="s">
        <v>47</v>
      </c>
      <c r="AN3" s="23" t="s">
        <v>48</v>
      </c>
      <c r="AO3" s="23" t="s">
        <v>49</v>
      </c>
      <c r="AP3" s="23" t="s">
        <v>50</v>
      </c>
      <c r="AQ3" s="23" t="s">
        <v>51</v>
      </c>
      <c r="AR3" s="23" t="s">
        <v>52</v>
      </c>
      <c r="AS3" s="23" t="s">
        <v>53</v>
      </c>
      <c r="AT3" s="23" t="s">
        <v>54</v>
      </c>
      <c r="AU3" s="23" t="s">
        <v>55</v>
      </c>
      <c r="AV3" s="23" t="s">
        <v>56</v>
      </c>
      <c r="AW3" s="23" t="s">
        <v>57</v>
      </c>
      <c r="AX3" s="23" t="s">
        <v>58</v>
      </c>
      <c r="AY3" s="23" t="s">
        <v>59</v>
      </c>
      <c r="AZ3" s="23" t="s">
        <v>60</v>
      </c>
      <c r="BA3" s="23" t="s">
        <v>61</v>
      </c>
      <c r="BB3" s="23" t="s">
        <v>62</v>
      </c>
      <c r="BC3" s="23" t="s">
        <v>63</v>
      </c>
      <c r="BD3" s="23" t="s">
        <v>63</v>
      </c>
      <c r="BE3" s="23" t="s">
        <v>63</v>
      </c>
    </row>
    <row r="4" spans="2:57" x14ac:dyDescent="0.25">
      <c r="B4" s="26"/>
      <c r="C4" s="27"/>
      <c r="D4" s="28"/>
      <c r="E4" s="29"/>
      <c r="F4" s="30"/>
      <c r="G4" s="31"/>
      <c r="H4" s="32"/>
      <c r="I4" s="33"/>
      <c r="J4" s="34"/>
      <c r="K4" s="34"/>
      <c r="L4" s="35"/>
      <c r="M4" s="36"/>
      <c r="N4" s="33"/>
      <c r="O4" s="33"/>
      <c r="P4" s="33"/>
      <c r="Q4" s="37"/>
      <c r="R4" s="38"/>
      <c r="S4" s="39"/>
      <c r="T4" s="39"/>
      <c r="U4" s="40">
        <f>IF($B$1="R290",0.00005*D4^5-0.0037*D4^4+0.1052*D4^3-1.5247*D4^2+14.856*D4-38.823,IF($B$1="R600a",0.001*D4^5-0.042*D4^4+0.6637*D4^3-5.0642*D4^2+24.812*D4-13.145,0))</f>
        <v>-38.823</v>
      </c>
      <c r="V4" s="41">
        <f>IF($B$1="R290",0.00005*E4^5-0.0037*E4^4+0.1052*E4^3-1.5247*E4^2+14.856*E4-38.823,IF($B$1="R600a",0.001*E4^5-0.042*E4^4+0.6637*E4^3-5.0642*E4^2+24.812*E4-13.145,0))</f>
        <v>-38.823</v>
      </c>
      <c r="W4" s="42">
        <f t="shared" ref="W4" si="0">MIN(Z4:BM4)</f>
        <v>0</v>
      </c>
      <c r="X4" s="43">
        <f t="shared" ref="X4" si="1">MAX(Z4:BM4)</f>
        <v>0</v>
      </c>
      <c r="Y4" s="44" t="e">
        <f>AVERAGE(Z4:BE4)</f>
        <v>#DIV/0!</v>
      </c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</row>
    <row r="12" spans="2:57" x14ac:dyDescent="0.25">
      <c r="W12" s="4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Мольский</dc:creator>
  <cp:lastModifiedBy>Andrey Baidenko</cp:lastModifiedBy>
  <dcterms:created xsi:type="dcterms:W3CDTF">2026-03-30T08:28:32Z</dcterms:created>
  <dcterms:modified xsi:type="dcterms:W3CDTF">2026-04-03T07:35:47Z</dcterms:modified>
</cp:coreProperties>
</file>